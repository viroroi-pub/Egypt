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Scores (numeric)" sheetId="1" state="visible" r:id="rId3"/>
    <sheet name="Composi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<sst xmlns="http://schemas.openxmlformats.org/spreadsheetml/2006/main" count="40" uniqueCount="34">
  <si>
    <t xml:space="preserve">Criterion</t>
  </si>
  <si>
    <t xml:space="preserve">IER (edge-integrated)</t>
  </si>
  <si>
    <t xml:space="preserve">Frontal ramp</t>
  </si>
  <si>
    <t xml:space="preserve">External spiral</t>
  </si>
  <si>
    <t xml:space="preserve">Internal spiral (Houdin)</t>
  </si>
  <si>
    <t xml:space="preserve">Step-core + short ramps</t>
  </si>
  <si>
    <t xml:space="preserve">Integrated helical (external embedded)</t>
  </si>
  <si>
    <t xml:space="preserve">1) Material efficiency (ME)</t>
  </si>
  <si>
    <t xml:space="preserve">2) Archaeological footprint</t>
  </si>
  <si>
    <t xml:space="preserve">3) Survey visibility (edges)</t>
  </si>
  <si>
    <t xml:space="preserve">4) Muography consistency</t>
  </si>
  <si>
    <t xml:space="preserve">5) Time potential</t>
  </si>
  <si>
    <t xml:space="preserve">6) Throughput/headway</t>
  </si>
  <si>
    <t xml:space="preserve">7) Corner-turn feasibility</t>
  </si>
  <si>
    <t xml:space="preserve">8) Granite handling</t>
  </si>
  <si>
    <t xml:space="preserve">9) Width &amp; clearances</t>
  </si>
  <si>
    <t xml:space="preserve">10) Structural risk/novelty</t>
  </si>
  <si>
    <t xml:space="preserve">11) De-ramping overhead</t>
  </si>
  <si>
    <t xml:space="preserve">12) No massive remains consistency</t>
  </si>
  <si>
    <t xml:space="preserve">Total</t>
  </si>
  <si>
    <t xml:space="preserve">Σ score</t>
  </si>
  <si>
    <t xml:space="preserve">8.5</t>
  </si>
  <si>
    <t xml:space="preserve">-3.5</t>
  </si>
  <si>
    <t xml:space="preserve">-6.5</t>
  </si>
  <si>
    <t xml:space="preserve">1</t>
  </si>
  <si>
    <t xml:space="preserve">2</t>
  </si>
  <si>
    <t xml:space="preserve">-1.5</t>
  </si>
  <si>
    <t xml:space="preserve">Mean per criterion</t>
  </si>
  <si>
    <t xml:space="preserve">0.7083</t>
  </si>
  <si>
    <t xml:space="preserve">-0.2917</t>
  </si>
  <si>
    <t xml:space="preserve">-0.5417</t>
  </si>
  <si>
    <t xml:space="preserve">0.08333</t>
  </si>
  <si>
    <t xml:space="preserve">0.1667</t>
  </si>
  <si>
    <t xml:space="preserve">-0.125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</si>
</sst>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3.52"/>
    <col collapsed="false" customWidth="true" hidden="false" outlineLevel="0" max="2" min="2" style="1" width="19.75"/>
    <col collapsed="false" customWidth="true" hidden="false" outlineLevel="0" max="3" min="3" style="1" width="21.84"/>
    <col collapsed="false" customWidth="true" hidden="false" outlineLevel="0" max="4" min="4" style="1" width="19.75"/>
    <col collapsed="false" customWidth="true" hidden="false" outlineLevel="0" max="5" min="5" style="1" width="21.56"/>
    <col collapsed="false" customWidth="true" hidden="false" outlineLevel="0" max="6" min="6" style="1" width="29.49"/>
    <col collapsed="false" customWidth="true" hidden="false" outlineLevel="0" max="7" min="7" style="1" width="36.7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1" t="n">
        <v>1</v>
      </c>
      <c r="C2" s="1" t="n">
        <v>-1</v>
      </c>
      <c r="D2" s="1" t="n">
        <v>-0.5</v>
      </c>
      <c r="E2" s="1" t="n">
        <v>1</v>
      </c>
      <c r="F2" s="1" t="n">
        <v>0.5</v>
      </c>
      <c r="G2" s="1" t="n">
        <v>0.5</v>
      </c>
    </row>
    <row r="3" customFormat="false" ht="15" hidden="false" customHeight="false" outlineLevel="0" collapsed="false">
      <c r="A3" s="2" t="s">
        <v>8</v>
      </c>
      <c r="B3" s="1" t="n">
        <v>1</v>
      </c>
      <c r="C3" s="1" t="n">
        <v>-1</v>
      </c>
      <c r="D3" s="1" t="n">
        <v>-1</v>
      </c>
      <c r="E3" s="1" t="n">
        <v>1</v>
      </c>
      <c r="F3" s="1" t="n">
        <v>0.5</v>
      </c>
      <c r="G3" s="1" t="n">
        <v>1</v>
      </c>
    </row>
    <row r="4" customFormat="false" ht="15" hidden="false" customHeight="false" outlineLevel="0" collapsed="false">
      <c r="A4" s="2" t="s">
        <v>9</v>
      </c>
      <c r="B4" s="1" t="n">
        <v>1</v>
      </c>
      <c r="C4" s="1" t="n">
        <v>-0.5</v>
      </c>
      <c r="D4" s="1" t="n">
        <v>-1</v>
      </c>
      <c r="E4" s="1" t="n">
        <v>1</v>
      </c>
      <c r="F4" s="1" t="n">
        <v>0.5</v>
      </c>
      <c r="G4" s="1" t="n">
        <v>-0.5</v>
      </c>
    </row>
    <row r="5" customFormat="false" ht="15" hidden="false" customHeight="false" outlineLevel="0" collapsed="false">
      <c r="A5" s="2" t="s">
        <v>10</v>
      </c>
      <c r="B5" s="1" t="n">
        <v>0.5</v>
      </c>
      <c r="C5" s="1" t="n">
        <v>0</v>
      </c>
      <c r="D5" s="1" t="n">
        <v>0</v>
      </c>
      <c r="E5" s="1" t="n">
        <v>-0.5</v>
      </c>
      <c r="F5" s="1" t="n">
        <v>0</v>
      </c>
      <c r="G5" s="1" t="n">
        <v>0</v>
      </c>
    </row>
    <row r="6" customFormat="false" ht="15" hidden="false" customHeight="false" outlineLevel="0" collapsed="false">
      <c r="A6" s="2" t="s">
        <v>11</v>
      </c>
      <c r="B6" s="1" t="n">
        <v>0.5</v>
      </c>
      <c r="C6" s="1" t="n">
        <v>-1</v>
      </c>
      <c r="D6" s="1" t="n">
        <v>-0.5</v>
      </c>
      <c r="E6" s="1" t="n">
        <v>0</v>
      </c>
      <c r="F6" s="1" t="n">
        <v>-0.5</v>
      </c>
      <c r="G6" s="1" t="n">
        <v>-1</v>
      </c>
    </row>
    <row r="7" customFormat="false" ht="15" hidden="false" customHeight="false" outlineLevel="0" collapsed="false">
      <c r="A7" s="2" t="s">
        <v>12</v>
      </c>
      <c r="B7" s="1" t="n">
        <v>0.5</v>
      </c>
      <c r="C7" s="1" t="n">
        <v>-0.5</v>
      </c>
      <c r="D7" s="1" t="n">
        <v>-0.5</v>
      </c>
      <c r="E7" s="1" t="n">
        <v>-0.5</v>
      </c>
      <c r="F7" s="1" t="n">
        <v>-0.5</v>
      </c>
      <c r="G7" s="1" t="n">
        <v>-0.5</v>
      </c>
    </row>
    <row r="8" customFormat="false" ht="15" hidden="false" customHeight="false" outlineLevel="0" collapsed="false">
      <c r="A8" s="2" t="s">
        <v>13</v>
      </c>
      <c r="B8" s="1" t="n">
        <v>0.5</v>
      </c>
      <c r="C8" s="1" t="n">
        <v>1</v>
      </c>
      <c r="D8" s="1" t="n">
        <v>-0.5</v>
      </c>
      <c r="E8" s="1" t="n">
        <v>-0.5</v>
      </c>
      <c r="F8" s="1" t="n">
        <v>0</v>
      </c>
      <c r="G8" s="1" t="n">
        <v>-0.5</v>
      </c>
    </row>
    <row r="9" customFormat="false" ht="15" hidden="false" customHeight="false" outlineLevel="0" collapsed="false">
      <c r="A9" s="2" t="s">
        <v>14</v>
      </c>
      <c r="B9" s="1" t="n">
        <v>0.5</v>
      </c>
      <c r="C9" s="1" t="n">
        <v>0.5</v>
      </c>
      <c r="D9" s="1" t="n">
        <v>-0.5</v>
      </c>
      <c r="E9" s="1" t="n">
        <v>-0.5</v>
      </c>
      <c r="F9" s="1" t="n">
        <v>0</v>
      </c>
      <c r="G9" s="1" t="n">
        <v>-0.5</v>
      </c>
    </row>
    <row r="10" customFormat="false" ht="15" hidden="false" customHeight="false" outlineLevel="0" collapsed="false">
      <c r="A10" s="2" t="s">
        <v>15</v>
      </c>
      <c r="B10" s="1" t="n">
        <v>0.5</v>
      </c>
      <c r="C10" s="1" t="n">
        <v>1</v>
      </c>
      <c r="D10" s="1" t="n">
        <v>-0.5</v>
      </c>
      <c r="E10" s="1" t="n">
        <v>-0.5</v>
      </c>
      <c r="F10" s="1" t="n">
        <v>0</v>
      </c>
      <c r="G10" s="1" t="n">
        <v>-0.5</v>
      </c>
    </row>
    <row r="11" customFormat="false" ht="15" hidden="false" customHeight="false" outlineLevel="0" collapsed="false">
      <c r="A11" s="2" t="s">
        <v>16</v>
      </c>
      <c r="B11" s="1" t="n">
        <v>0.5</v>
      </c>
      <c r="C11" s="1" t="n">
        <v>0</v>
      </c>
      <c r="D11" s="1" t="n">
        <v>0</v>
      </c>
      <c r="E11" s="1" t="n">
        <v>-1</v>
      </c>
      <c r="F11" s="1" t="n">
        <v>0.5</v>
      </c>
      <c r="G11" s="1" t="n">
        <v>-0.5</v>
      </c>
    </row>
    <row r="12" customFormat="false" ht="15" hidden="false" customHeight="false" outlineLevel="0" collapsed="false">
      <c r="A12" s="2" t="s">
        <v>17</v>
      </c>
      <c r="B12" s="1" t="n">
        <v>1</v>
      </c>
      <c r="C12" s="1" t="n">
        <v>-1</v>
      </c>
      <c r="D12" s="1" t="n">
        <v>-0.5</v>
      </c>
      <c r="E12" s="1" t="n">
        <v>0.5</v>
      </c>
      <c r="F12" s="1" t="n">
        <v>0.5</v>
      </c>
      <c r="G12" s="1" t="n">
        <v>0.5</v>
      </c>
    </row>
    <row r="13" customFormat="false" ht="15" hidden="false" customHeight="false" outlineLevel="0" collapsed="false">
      <c r="A13" s="2" t="s">
        <v>18</v>
      </c>
      <c r="B13" s="1" t="n">
        <v>1</v>
      </c>
      <c r="C13" s="1" t="n">
        <v>-1</v>
      </c>
      <c r="D13" s="1" t="n">
        <v>-1</v>
      </c>
      <c r="E13" s="1" t="n">
        <v>1</v>
      </c>
      <c r="F13" s="1" t="n">
        <v>0.5</v>
      </c>
      <c r="G13" s="1" t="n">
        <v>0.5</v>
      </c>
    </row>
    <row r="14" customFormat="false" ht="15" hidden="false" customHeight="false" outlineLevel="0" collapsed="false">
      <c r="A14" s="3" t="s">
        <v>19</v>
      </c>
      <c r="B14" s="3" t="n">
        <f aca="false">SUM(B2:B13)</f>
        <v>8.5</v>
      </c>
      <c r="C14" s="1" t="n">
        <f aca="false">SUM(C2:C13)</f>
        <v>-3.5</v>
      </c>
      <c r="D14" s="1" t="n">
        <f aca="false">SUM(D2:D13)</f>
        <v>-6.5</v>
      </c>
      <c r="E14" s="1" t="n">
        <f aca="false">SUM(E2:E13)</f>
        <v>1</v>
      </c>
      <c r="F14" s="1" t="n">
        <f aca="false">SUM(F2:F13)</f>
        <v>2</v>
      </c>
      <c r="G14" s="1" t="n">
        <f aca="false">SUM(G2:G13)</f>
        <v>-1.5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21.28"/>
    <col collapsed="false" customWidth="true" hidden="false" outlineLevel="0" max="3" min="3" style="1" width="20.17"/>
    <col collapsed="false" customWidth="true" hidden="false" outlineLevel="0" max="4" min="4" style="1" width="21"/>
    <col collapsed="false" customWidth="true" hidden="false" outlineLevel="0" max="5" min="5" style="1" width="22.81"/>
    <col collapsed="false" customWidth="true" hidden="false" outlineLevel="0" max="6" min="6" style="1" width="26.01"/>
    <col collapsed="false" customWidth="true" hidden="false" outlineLevel="0" max="7" min="7" style="1" width="37.98"/>
  </cols>
  <sheetData>
    <row r="1" customFormat="false" ht="15" hidden="false" customHeight="false" outlineLevel="0" collapsed="false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</row>
    <row r="3" customFormat="false" ht="15" hidden="false" customHeight="false" outlineLevel="0" collapsed="false">
      <c r="A3" s="2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2025-10-07T18:00:02Z</dcterms:created>
  <dc:creator/>
  <dc:description/>
  <dc:language>es-ES</dc:language>
  <cp:lastModifiedBy>Vicente Rosell Roig</cp:lastModifiedBy>
  <dcterms:modified xsi:type="dcterms:W3CDTF">2025-10-07T20:10:04Z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